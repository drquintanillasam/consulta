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6" yWindow="600" windowWidth="23256" windowHeight="11952"/>
  </bookViews>
  <sheets>
    <sheet name="Hoja1" sheetId="1" r:id="rId1"/>
  </sheets>
  <calcPr calcId="145621"/>
  <extLst>
    <ext uri="GoogleSheetsCustomDataVersion2">
      <go:sheetsCustomData xmlns:go="http://customooxmlschemas.google.com/" r:id="rId5" roundtripDataChecksum="/ivwCUDRM3cCqaMqJZ+fNbwT3fme8oDQ2pfmQbr3ahA="/>
    </ext>
  </extLst>
</workbook>
</file>

<file path=xl/calcChain.xml><?xml version="1.0" encoding="utf-8"?>
<calcChain xmlns="http://schemas.openxmlformats.org/spreadsheetml/2006/main">
  <c r="B69" i="1" l="1"/>
  <c r="B68" i="1"/>
  <c r="B67" i="1"/>
  <c r="E45" i="1"/>
  <c r="C45" i="1"/>
  <c r="D40" i="1"/>
  <c r="C40" i="1"/>
  <c r="C41" i="1" s="1"/>
  <c r="D41" i="1" s="1"/>
  <c r="L37" i="1"/>
  <c r="M37" i="1" s="1"/>
  <c r="C37" i="1"/>
  <c r="L36" i="1"/>
  <c r="M36" i="1" s="1"/>
  <c r="C36" i="1"/>
  <c r="M35" i="1"/>
  <c r="L35" i="1"/>
  <c r="C35" i="1"/>
  <c r="D35" i="1" s="1"/>
  <c r="T34" i="1"/>
  <c r="C34" i="1"/>
  <c r="T33" i="1"/>
  <c r="C33" i="1"/>
  <c r="L31" i="1"/>
  <c r="N31" i="1" s="1"/>
  <c r="T30" i="1"/>
  <c r="L30" i="1"/>
  <c r="N30" i="1" s="1"/>
  <c r="T29" i="1"/>
  <c r="L29" i="1"/>
  <c r="C29" i="1"/>
  <c r="D29" i="1" s="1"/>
  <c r="L28" i="1"/>
  <c r="N28" i="1" s="1"/>
  <c r="C28" i="1"/>
  <c r="D28" i="1" s="1"/>
  <c r="N27" i="1"/>
  <c r="L27" i="1"/>
  <c r="C27" i="1"/>
  <c r="D27" i="1" s="1"/>
  <c r="L26" i="1"/>
  <c r="N26" i="1" s="1"/>
  <c r="T25" i="1"/>
  <c r="L25" i="1"/>
  <c r="N25" i="1" s="1"/>
  <c r="C25" i="1"/>
  <c r="T24" i="1"/>
  <c r="L24" i="1"/>
  <c r="N24" i="1" s="1"/>
  <c r="C24" i="1"/>
  <c r="D24" i="1" s="1"/>
  <c r="T23" i="1"/>
  <c r="L23" i="1"/>
  <c r="N23" i="1" s="1"/>
  <c r="C23" i="1"/>
  <c r="D23" i="1" s="1"/>
  <c r="T22" i="1"/>
  <c r="L22" i="1"/>
  <c r="N22" i="1" s="1"/>
  <c r="D22" i="1"/>
  <c r="C22" i="1"/>
  <c r="T21" i="1"/>
  <c r="N21" i="1"/>
  <c r="L21" i="1"/>
  <c r="C21" i="1"/>
  <c r="D21" i="1" s="1"/>
  <c r="T20" i="1"/>
  <c r="L20" i="1"/>
  <c r="N20" i="1" s="1"/>
  <c r="C20" i="1"/>
  <c r="D20" i="1" s="1"/>
  <c r="T19" i="1"/>
  <c r="L19" i="1"/>
  <c r="N19" i="1" s="1"/>
  <c r="C19" i="1"/>
  <c r="D19" i="1" s="1"/>
  <c r="H16" i="1"/>
  <c r="L16" i="1" s="1"/>
  <c r="D16" i="1"/>
  <c r="N16" i="1" s="1"/>
  <c r="H14" i="1"/>
  <c r="L14" i="1" s="1"/>
  <c r="D14" i="1"/>
  <c r="N14" i="1" s="1"/>
  <c r="H13" i="1"/>
  <c r="L13" i="1" s="1"/>
  <c r="D13" i="1"/>
  <c r="N13" i="1" s="1"/>
  <c r="P12" i="1"/>
  <c r="H12" i="1"/>
  <c r="L12" i="1" s="1"/>
  <c r="G12" i="1"/>
  <c r="K12" i="1" s="1"/>
  <c r="F12" i="1"/>
  <c r="J12" i="1" s="1"/>
  <c r="D12" i="1"/>
  <c r="N12" i="1" s="1"/>
  <c r="B12" i="1"/>
  <c r="H6" i="1"/>
  <c r="L6" i="1" s="1"/>
  <c r="D6" i="1"/>
  <c r="G6" i="1" s="1"/>
  <c r="K6" i="1" s="1"/>
  <c r="H5" i="1"/>
  <c r="L5" i="1" s="1"/>
  <c r="D5" i="1"/>
  <c r="F5" i="1" s="1"/>
  <c r="J5" i="1" s="1"/>
  <c r="H4" i="1"/>
  <c r="L4" i="1" s="1"/>
  <c r="D4" i="1"/>
  <c r="G4" i="1" s="1"/>
  <c r="K4" i="1" s="1"/>
  <c r="P3" i="1"/>
  <c r="F6" i="1" l="1"/>
  <c r="J6" i="1" s="1"/>
  <c r="F13" i="1"/>
  <c r="J13" i="1" s="1"/>
  <c r="G5" i="1"/>
  <c r="K5" i="1" s="1"/>
  <c r="G13" i="1"/>
  <c r="K13" i="1" s="1"/>
  <c r="F14" i="1"/>
  <c r="J14" i="1" s="1"/>
  <c r="F4" i="1"/>
  <c r="J4" i="1" s="1"/>
  <c r="G14" i="1"/>
  <c r="K14" i="1" s="1"/>
  <c r="F16" i="1"/>
  <c r="J16" i="1" s="1"/>
  <c r="G16" i="1"/>
  <c r="K16" i="1" s="1"/>
</calcChain>
</file>

<file path=xl/sharedStrings.xml><?xml version="1.0" encoding="utf-8"?>
<sst xmlns="http://schemas.openxmlformats.org/spreadsheetml/2006/main" count="200" uniqueCount="133">
  <si>
    <t>PLAN DE LIQUIDOS</t>
  </si>
  <si>
    <t>PESO MENOR DE 10KG</t>
  </si>
  <si>
    <t>PARA 24 HORAS</t>
  </si>
  <si>
    <t>PARA 8 HORAS</t>
  </si>
  <si>
    <t>CARGA</t>
  </si>
  <si>
    <t>LIQUIDOS BASALES</t>
  </si>
  <si>
    <t>SG5%</t>
  </si>
  <si>
    <t>SS 0.9%</t>
  </si>
  <si>
    <t>KCL</t>
  </si>
  <si>
    <t>SS0.9%</t>
  </si>
  <si>
    <t>PESO:</t>
  </si>
  <si>
    <t>BASAL</t>
  </si>
  <si>
    <t xml:space="preserve">HIDRATACION </t>
  </si>
  <si>
    <t>RESTRICTIVO</t>
  </si>
  <si>
    <t>PESO MAYOR DE 10 KG</t>
  </si>
  <si>
    <t>SOL MIXTA</t>
  </si>
  <si>
    <t>ASC:</t>
  </si>
  <si>
    <t>ASC BASAL</t>
  </si>
  <si>
    <t>ASC HIDRATACION</t>
  </si>
  <si>
    <t>ASC RESTRICTIVO</t>
  </si>
  <si>
    <t>HOLIDAY-SEGAR</t>
  </si>
  <si>
    <t>FARMACOS</t>
  </si>
  <si>
    <t>PESO</t>
  </si>
  <si>
    <t>AINES</t>
  </si>
  <si>
    <t>DOSIS TOTAL MG</t>
  </si>
  <si>
    <t>INDICACION ML</t>
  </si>
  <si>
    <t>ABS</t>
  </si>
  <si>
    <t>DOSIS</t>
  </si>
  <si>
    <t>DIA/DOS</t>
  </si>
  <si>
    <t>ESTEROIDES</t>
  </si>
  <si>
    <t>PARACETAMOL</t>
  </si>
  <si>
    <t>100MG/ML</t>
  </si>
  <si>
    <t>AMOXI</t>
  </si>
  <si>
    <t>DIA</t>
  </si>
  <si>
    <t>CADA 8</t>
  </si>
  <si>
    <t>METILPREDNISONA</t>
  </si>
  <si>
    <t xml:space="preserve">CARGA </t>
  </si>
  <si>
    <t>IBUPROFENO</t>
  </si>
  <si>
    <t>2GR/100ML</t>
  </si>
  <si>
    <t>AMOXICLAV</t>
  </si>
  <si>
    <t>METAMIZOL</t>
  </si>
  <si>
    <t>1GR/2ML</t>
  </si>
  <si>
    <t>TMPSMX</t>
  </si>
  <si>
    <t>CADA 12</t>
  </si>
  <si>
    <t>BOLO24HRS</t>
  </si>
  <si>
    <t>DICLOFENACO</t>
  </si>
  <si>
    <t>75MG/3ML</t>
  </si>
  <si>
    <t>CLINDA</t>
  </si>
  <si>
    <t>PREDNISONA</t>
  </si>
  <si>
    <t>KETOROLACO</t>
  </si>
  <si>
    <t>30MG/ML</t>
  </si>
  <si>
    <t>CEFTRIA</t>
  </si>
  <si>
    <t>DEXAMETASONA</t>
  </si>
  <si>
    <t>BUTILHIOCINA</t>
  </si>
  <si>
    <t>20MG/ML</t>
  </si>
  <si>
    <t>CEFOTA</t>
  </si>
  <si>
    <t>CRUP</t>
  </si>
  <si>
    <t>TRAMADOL</t>
  </si>
  <si>
    <t>100MK/ML</t>
  </si>
  <si>
    <t>METRO</t>
  </si>
  <si>
    <t>HIDROCORTISONA</t>
  </si>
  <si>
    <t>VOMITO</t>
  </si>
  <si>
    <t>DICLOXA</t>
  </si>
  <si>
    <t>ONDANSETRON</t>
  </si>
  <si>
    <t>ML</t>
  </si>
  <si>
    <t>VANCO</t>
  </si>
  <si>
    <t>METOCLOPRAMIDA</t>
  </si>
  <si>
    <t>MERO</t>
  </si>
  <si>
    <t>GASTROINTESTINAL</t>
  </si>
  <si>
    <t>DIFENIDOL</t>
  </si>
  <si>
    <t>GENTA</t>
  </si>
  <si>
    <t>CADA 24</t>
  </si>
  <si>
    <t>OMEPRAZOL</t>
  </si>
  <si>
    <t>C/24HRS</t>
  </si>
  <si>
    <t>AMPI</t>
  </si>
  <si>
    <t>CADA 6 IV</t>
  </si>
  <si>
    <t>HIOSCINA</t>
  </si>
  <si>
    <t>C/8HRS</t>
  </si>
  <si>
    <t>Acivlovir(varicela)</t>
  </si>
  <si>
    <t>dosis</t>
  </si>
  <si>
    <t>cada 6hrs</t>
  </si>
  <si>
    <t>DIMETICONA</t>
  </si>
  <si>
    <t>&lt;2 AÑOS 5 GOTAS</t>
  </si>
  <si>
    <t>SEDANTE Y TUBO</t>
  </si>
  <si>
    <t>&gt;2AÑOS 10 GOTAS</t>
  </si>
  <si>
    <t>DIACEPAM</t>
  </si>
  <si>
    <t>DILUCION 1:1</t>
  </si>
  <si>
    <t>AL Y MG</t>
  </si>
  <si>
    <t>(MAX 5-10ML DOSIS)</t>
  </si>
  <si>
    <t>MIDAZOLAM</t>
  </si>
  <si>
    <t>ANTIHISTAMINICOS</t>
  </si>
  <si>
    <t>TRIMEBUTINA</t>
  </si>
  <si>
    <t>LIDOCAINA</t>
  </si>
  <si>
    <t>LORATADINA</t>
  </si>
  <si>
    <t>C/24</t>
  </si>
  <si>
    <t>5MG/5ML</t>
  </si>
  <si>
    <t>DFH</t>
  </si>
  <si>
    <t>CLORFENAMINA</t>
  </si>
  <si>
    <t>C/8</t>
  </si>
  <si>
    <t>50MG/100ML</t>
  </si>
  <si>
    <t>CADA 8 HRS</t>
  </si>
  <si>
    <t>DIFENHIDRAMINA</t>
  </si>
  <si>
    <t>250MG/100ML</t>
  </si>
  <si>
    <t>MNB</t>
  </si>
  <si>
    <t xml:space="preserve">Diluir capsula en 5ml </t>
  </si>
  <si>
    <t>COMBIVENT</t>
  </si>
  <si>
    <t>MAX 2.5ML</t>
  </si>
  <si>
    <t>Oseltamivir</t>
  </si>
  <si>
    <t>&lt;15kg</t>
  </si>
  <si>
    <t>30mg</t>
  </si>
  <si>
    <t>2ml cada 12 hrs</t>
  </si>
  <si>
    <t>SALBUTAMOL</t>
  </si>
  <si>
    <t>MAX 0.5ML</t>
  </si>
  <si>
    <t>15-23</t>
  </si>
  <si>
    <t>45mg</t>
  </si>
  <si>
    <t>3ml cada 12 hrs</t>
  </si>
  <si>
    <t>BUDESONIDA</t>
  </si>
  <si>
    <t>MENOS 10KG MEDIA AMPULA</t>
  </si>
  <si>
    <t>MAS 10KG COMPLETA</t>
  </si>
  <si>
    <t>23-40</t>
  </si>
  <si>
    <t>60mg</t>
  </si>
  <si>
    <t>4ml cada 12 hrs</t>
  </si>
  <si>
    <t>ADRENALINA</t>
  </si>
  <si>
    <t>DE 1 A 5 AMPULAS SIN DILUIR</t>
  </si>
  <si>
    <t>&gt;40</t>
  </si>
  <si>
    <t>75mg</t>
  </si>
  <si>
    <t>5ml cada 12 hrs</t>
  </si>
  <si>
    <t>SS 3%</t>
  </si>
  <si>
    <t>2.5ML DE HIPERTON COMPLETAR 20cc CON SS 0.9%</t>
  </si>
  <si>
    <t>SO4MG</t>
  </si>
  <si>
    <t>EN</t>
  </si>
  <si>
    <t>P/30MIN</t>
  </si>
  <si>
    <t>MAX 2GR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</si>
</sst>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rgb="FF3F3F76"/>
      <name val="Calibri"/>
    </font>
    <font>
      <sz val="11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  <fill>
      <patternFill patternType="solid">
        <fgColor rgb="FFFFEB9C"/>
        <bgColor rgb="FFFFEB9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3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4" borderId="4" xfId="0" applyFont="1" applyFill="1" applyBorder="1"/>
    <xf numFmtId="0" fontId="3" fillId="5" borderId="4" xfId="0" applyFont="1" applyFill="1" applyBorder="1" applyAlignment="1">
      <alignment horizontal="center" vertical="center"/>
    </xf>
    <xf numFmtId="1" fontId="3" fillId="0" borderId="0" xfId="0" applyNumberFormat="1" applyFont="1"/>
    <xf numFmtId="0" fontId="3" fillId="3" borderId="4" xfId="0" applyFont="1" applyFill="1" applyBorder="1"/>
    <xf numFmtId="0" fontId="3" fillId="5" borderId="4" xfId="0" applyFont="1" applyFill="1" applyBorder="1" applyAlignment="1">
      <alignment horizontal="center"/>
    </xf>
    <xf numFmtId="0" fontId="5" fillId="6" borderId="4" xfId="0" applyFont="1" applyFill="1" applyBorder="1"/>
    <xf numFmtId="0" fontId="3" fillId="5" borderId="4" xfId="0" applyFont="1" applyFill="1" applyBorder="1" applyAlignment="1"/>
    <xf numFmtId="0" fontId="3" fillId="5" borderId="4" xfId="0" applyFont="1" applyFill="1" applyBorder="1"/>
    <xf numFmtId="0" fontId="3" fillId="2" borderId="4" xfId="0" applyFont="1" applyFill="1" applyBorder="1"/>
    <xf numFmtId="0" fontId="3" fillId="7" borderId="4" xfId="0" applyFont="1" applyFill="1" applyBorder="1"/>
    <xf numFmtId="0" fontId="3" fillId="0" borderId="0" xfId="0" applyFont="1"/>
    <xf numFmtId="0" fontId="7" fillId="8" borderId="4" xfId="0" applyFont="1" applyFill="1" applyBorder="1"/>
    <xf numFmtId="0" fontId="7" fillId="8" borderId="4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workbookViewId="0">
      <selection activeCell="N33" sqref="N33"/>
    </sheetView>
  </sheetViews>
  <sheetFormatPr baseColWidth="10" defaultColWidth="14.44140625" defaultRowHeight="15" customHeight="1"/>
  <cols>
    <col min="1" max="1" width="8.88671875" customWidth="1"/>
    <col min="2" max="2" width="13.109375" customWidth="1"/>
    <col min="3" max="3" width="17.44140625" customWidth="1"/>
    <col min="4" max="4" width="8.88671875" customWidth="1"/>
    <col min="5" max="5" width="4.6640625" customWidth="1"/>
    <col min="6" max="8" width="8.88671875" customWidth="1"/>
    <col min="9" max="9" width="5" customWidth="1"/>
    <col min="10" max="12" width="8.88671875" customWidth="1"/>
    <col min="13" max="13" width="10.33203125" customWidth="1"/>
    <col min="14" max="26" width="8.88671875" customWidth="1"/>
  </cols>
  <sheetData>
    <row r="1" spans="1:16" ht="37.5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</row>
    <row r="2" spans="1:16" ht="28.5" customHeight="1">
      <c r="A2" s="1" t="s">
        <v>1</v>
      </c>
      <c r="B2" s="1"/>
      <c r="C2" s="2"/>
      <c r="D2" s="2"/>
      <c r="E2" s="2"/>
      <c r="F2" s="1" t="s">
        <v>2</v>
      </c>
      <c r="G2" s="1"/>
      <c r="H2" s="3"/>
      <c r="I2" s="3"/>
      <c r="J2" s="1" t="s">
        <v>3</v>
      </c>
      <c r="K2" s="1"/>
      <c r="L2" s="2"/>
      <c r="M2" s="2"/>
      <c r="N2" s="3"/>
      <c r="O2" s="2"/>
      <c r="P2" s="1" t="s">
        <v>4</v>
      </c>
    </row>
    <row r="3" spans="1:16" ht="14.4">
      <c r="C3" s="4" t="s">
        <v>5</v>
      </c>
      <c r="F3" s="5" t="s">
        <v>6</v>
      </c>
      <c r="G3" s="5" t="s">
        <v>7</v>
      </c>
      <c r="H3" s="5" t="s">
        <v>8</v>
      </c>
      <c r="J3" s="5" t="s">
        <v>6</v>
      </c>
      <c r="K3" s="5" t="s">
        <v>9</v>
      </c>
      <c r="L3" s="5" t="s">
        <v>8</v>
      </c>
      <c r="P3" s="4">
        <f>B4*15</f>
        <v>330</v>
      </c>
    </row>
    <row r="4" spans="1:16" ht="14.4">
      <c r="A4" s="4" t="s">
        <v>10</v>
      </c>
      <c r="B4" s="6">
        <v>22</v>
      </c>
      <c r="C4" s="4" t="s">
        <v>11</v>
      </c>
      <c r="D4" s="4">
        <f>B4*100</f>
        <v>2200</v>
      </c>
      <c r="F4" s="4">
        <f t="shared" ref="F4:F6" si="0">(D4/3)*2</f>
        <v>1466.6666666666667</v>
      </c>
      <c r="G4" s="4">
        <f t="shared" ref="G4:G6" si="1">(D4/3)</f>
        <v>733.33333333333337</v>
      </c>
      <c r="H4" s="4">
        <f>B4*2</f>
        <v>44</v>
      </c>
      <c r="J4" s="7">
        <f t="shared" ref="J4:K4" si="2">F4/3</f>
        <v>488.88888888888891</v>
      </c>
      <c r="K4" s="7">
        <f t="shared" si="2"/>
        <v>244.44444444444446</v>
      </c>
      <c r="L4" s="4">
        <f t="shared" ref="L4:L6" si="3">H4/6</f>
        <v>7.333333333333333</v>
      </c>
    </row>
    <row r="5" spans="1:16" ht="14.4">
      <c r="C5" s="4" t="s">
        <v>12</v>
      </c>
      <c r="D5" s="4">
        <f>B4*120</f>
        <v>2640</v>
      </c>
      <c r="F5" s="4">
        <f t="shared" si="0"/>
        <v>1760</v>
      </c>
      <c r="G5" s="4">
        <f t="shared" si="1"/>
        <v>880</v>
      </c>
      <c r="H5" s="4">
        <f>B4*2</f>
        <v>44</v>
      </c>
      <c r="J5" s="7">
        <f t="shared" ref="J5:K5" si="4">F5/3</f>
        <v>586.66666666666663</v>
      </c>
      <c r="K5" s="7">
        <f t="shared" si="4"/>
        <v>293.33333333333331</v>
      </c>
      <c r="L5" s="4">
        <f t="shared" si="3"/>
        <v>7.333333333333333</v>
      </c>
    </row>
    <row r="6" spans="1:16" ht="14.4">
      <c r="C6" s="4" t="s">
        <v>13</v>
      </c>
      <c r="D6" s="4">
        <f>B4*80</f>
        <v>1760</v>
      </c>
      <c r="F6" s="4">
        <f t="shared" si="0"/>
        <v>1173.3333333333333</v>
      </c>
      <c r="G6" s="4">
        <f t="shared" si="1"/>
        <v>586.66666666666663</v>
      </c>
      <c r="H6" s="4">
        <f>B4*2</f>
        <v>44</v>
      </c>
      <c r="J6" s="7">
        <f t="shared" ref="J6:K6" si="5">F6/3</f>
        <v>391.11111111111109</v>
      </c>
      <c r="K6" s="7">
        <f t="shared" si="5"/>
        <v>195.55555555555554</v>
      </c>
      <c r="L6" s="4">
        <f t="shared" si="3"/>
        <v>7.333333333333333</v>
      </c>
    </row>
    <row r="8" spans="1:16" ht="21.75" customHeight="1">
      <c r="A8" s="8" t="s">
        <v>14</v>
      </c>
      <c r="B8" s="8"/>
    </row>
    <row r="9" spans="1:16" ht="21" customHeight="1">
      <c r="F9" s="23" t="s">
        <v>2</v>
      </c>
      <c r="G9" s="22"/>
      <c r="H9" s="2"/>
      <c r="I9" s="2"/>
      <c r="J9" s="23" t="s">
        <v>3</v>
      </c>
      <c r="K9" s="22"/>
    </row>
    <row r="10" spans="1:16" ht="14.4">
      <c r="A10" s="4" t="s">
        <v>10</v>
      </c>
      <c r="B10" s="9">
        <v>13</v>
      </c>
      <c r="C10" s="4" t="s">
        <v>5</v>
      </c>
      <c r="F10" s="5" t="s">
        <v>6</v>
      </c>
      <c r="G10" s="5" t="s">
        <v>9</v>
      </c>
      <c r="H10" s="5" t="s">
        <v>8</v>
      </c>
      <c r="J10" s="5" t="s">
        <v>6</v>
      </c>
      <c r="K10" s="5" t="s">
        <v>9</v>
      </c>
      <c r="L10" s="5" t="s">
        <v>8</v>
      </c>
      <c r="N10" s="5" t="s">
        <v>15</v>
      </c>
      <c r="O10" s="5"/>
      <c r="P10" s="8" t="s">
        <v>4</v>
      </c>
    </row>
    <row r="12" spans="1:16" ht="14.4">
      <c r="A12" s="4" t="s">
        <v>16</v>
      </c>
      <c r="B12" s="4">
        <f>((B10*4)+7)/(B10+90)</f>
        <v>0.57281553398058249</v>
      </c>
      <c r="C12" s="4" t="s">
        <v>17</v>
      </c>
      <c r="D12" s="7">
        <f>B12*1500</f>
        <v>859.22330097087377</v>
      </c>
      <c r="F12" s="4">
        <f t="shared" ref="F12:F14" si="6">(D12/3)*2</f>
        <v>572.81553398058247</v>
      </c>
      <c r="G12" s="4">
        <f t="shared" ref="G12:G14" si="7">D12/3</f>
        <v>286.40776699029124</v>
      </c>
      <c r="H12" s="4">
        <f>(B12*20)/2</f>
        <v>5.7281553398058254</v>
      </c>
      <c r="J12" s="4">
        <f t="shared" ref="J12:L12" si="8">F12/3</f>
        <v>190.93851132686083</v>
      </c>
      <c r="K12" s="4">
        <f t="shared" si="8"/>
        <v>95.469255663430417</v>
      </c>
      <c r="L12" s="4">
        <f t="shared" si="8"/>
        <v>1.9093851132686084</v>
      </c>
      <c r="N12" s="4">
        <f t="shared" ref="N12:N14" si="9">D12/3</f>
        <v>286.40776699029124</v>
      </c>
      <c r="P12" s="4">
        <f>B10*15</f>
        <v>195</v>
      </c>
    </row>
    <row r="13" spans="1:16" ht="14.4">
      <c r="C13" s="4" t="s">
        <v>18</v>
      </c>
      <c r="D13" s="7">
        <f>B12*1800</f>
        <v>1031.0679611650485</v>
      </c>
      <c r="F13" s="4">
        <f t="shared" si="6"/>
        <v>687.37864077669894</v>
      </c>
      <c r="G13" s="4">
        <f t="shared" si="7"/>
        <v>343.68932038834947</v>
      </c>
      <c r="H13" s="4">
        <f>B12*20/2</f>
        <v>5.7281553398058254</v>
      </c>
      <c r="J13" s="4">
        <f t="shared" ref="J13:L13" si="10">F13/3</f>
        <v>229.12621359223297</v>
      </c>
      <c r="K13" s="4">
        <f t="shared" si="10"/>
        <v>114.56310679611649</v>
      </c>
      <c r="L13" s="4">
        <f t="shared" si="10"/>
        <v>1.9093851132686084</v>
      </c>
      <c r="N13" s="4">
        <f t="shared" si="9"/>
        <v>343.68932038834947</v>
      </c>
    </row>
    <row r="14" spans="1:16" ht="14.4">
      <c r="C14" s="4" t="s">
        <v>19</v>
      </c>
      <c r="D14" s="7">
        <f>B12*1000</f>
        <v>572.81553398058247</v>
      </c>
      <c r="F14" s="4">
        <f t="shared" si="6"/>
        <v>381.87702265372167</v>
      </c>
      <c r="G14" s="4">
        <f t="shared" si="7"/>
        <v>190.93851132686083</v>
      </c>
      <c r="H14" s="4">
        <f>B12*20/2</f>
        <v>5.7281553398058254</v>
      </c>
      <c r="J14" s="4">
        <f t="shared" ref="J14:L14" si="11">F14/3</f>
        <v>127.29234088457389</v>
      </c>
      <c r="K14" s="4">
        <f t="shared" si="11"/>
        <v>63.646170442286945</v>
      </c>
      <c r="L14" s="4">
        <f t="shared" si="11"/>
        <v>1.9093851132686084</v>
      </c>
      <c r="N14" s="4">
        <f t="shared" si="9"/>
        <v>190.93851132686083</v>
      </c>
    </row>
    <row r="16" spans="1:16" ht="14.4">
      <c r="A16" s="10" t="s">
        <v>20</v>
      </c>
      <c r="B16" s="10"/>
      <c r="C16" s="10"/>
      <c r="D16" s="10">
        <f>IF(B10&lt;11,B67,IF(B10&lt;21,B68,IF(B10&gt;20,B69)))</f>
        <v>1150</v>
      </c>
      <c r="F16" s="4">
        <f>(D16/3)*2</f>
        <v>766.66666666666663</v>
      </c>
      <c r="G16" s="4">
        <f>D16/3</f>
        <v>383.33333333333331</v>
      </c>
      <c r="H16" s="4">
        <f>B12*20/2</f>
        <v>5.7281553398058254</v>
      </c>
      <c r="J16" s="4">
        <f t="shared" ref="J16:L16" si="12">F16/3</f>
        <v>255.55555555555554</v>
      </c>
      <c r="K16" s="4">
        <f t="shared" si="12"/>
        <v>127.77777777777777</v>
      </c>
      <c r="L16" s="4">
        <f t="shared" si="12"/>
        <v>1.9093851132686084</v>
      </c>
      <c r="N16" s="4">
        <f>D16/3</f>
        <v>383.33333333333331</v>
      </c>
    </row>
    <row r="17" spans="1:21" ht="21.75" customHeight="1">
      <c r="A17" s="1" t="s">
        <v>21</v>
      </c>
      <c r="B17" s="1"/>
      <c r="C17" s="4" t="s">
        <v>22</v>
      </c>
      <c r="D17" s="11">
        <v>23.5</v>
      </c>
      <c r="J17" s="1" t="s">
        <v>21</v>
      </c>
      <c r="K17" s="1"/>
      <c r="L17" s="4" t="s">
        <v>10</v>
      </c>
      <c r="M17" s="12">
        <v>22</v>
      </c>
      <c r="R17" s="24" t="s">
        <v>21</v>
      </c>
      <c r="S17" s="25"/>
      <c r="T17" s="4" t="s">
        <v>22</v>
      </c>
      <c r="U17" s="12">
        <v>14</v>
      </c>
    </row>
    <row r="18" spans="1:21" ht="14.4">
      <c r="A18" s="13" t="s">
        <v>23</v>
      </c>
      <c r="B18" s="13"/>
      <c r="C18" s="14" t="s">
        <v>24</v>
      </c>
      <c r="D18" s="14" t="s">
        <v>25</v>
      </c>
      <c r="E18" s="14"/>
      <c r="J18" s="13" t="s">
        <v>26</v>
      </c>
      <c r="K18" s="13"/>
      <c r="L18" s="14" t="s">
        <v>27</v>
      </c>
      <c r="M18" s="14" t="s">
        <v>28</v>
      </c>
      <c r="N18" s="14" t="s">
        <v>25</v>
      </c>
      <c r="O18" s="14"/>
      <c r="R18" s="13" t="s">
        <v>29</v>
      </c>
      <c r="S18" s="13"/>
      <c r="T18" s="4" t="s">
        <v>27</v>
      </c>
    </row>
    <row r="19" spans="1:21" ht="14.4">
      <c r="A19" s="4" t="s">
        <v>30</v>
      </c>
      <c r="C19" s="15">
        <f>D17*15</f>
        <v>352.5</v>
      </c>
      <c r="D19" s="15">
        <f>C19/100</f>
        <v>3.5249999999999999</v>
      </c>
      <c r="G19" s="4" t="s">
        <v>31</v>
      </c>
      <c r="J19" s="4" t="s">
        <v>32</v>
      </c>
      <c r="L19" s="4">
        <f>M17*50</f>
        <v>1100</v>
      </c>
      <c r="M19" s="4" t="s">
        <v>33</v>
      </c>
      <c r="N19" s="4">
        <f>(L19/3)/100</f>
        <v>3.666666666666667</v>
      </c>
      <c r="O19" s="4" t="s">
        <v>34</v>
      </c>
      <c r="R19" s="4" t="s">
        <v>35</v>
      </c>
      <c r="T19" s="4">
        <f>U17*2</f>
        <v>28</v>
      </c>
      <c r="U19" s="4" t="s">
        <v>36</v>
      </c>
    </row>
    <row r="20" spans="1:21" ht="14.4">
      <c r="A20" s="4" t="s">
        <v>37</v>
      </c>
      <c r="C20" s="15">
        <f>D17*7</f>
        <v>164.5</v>
      </c>
      <c r="D20" s="15">
        <f>C20/20</f>
        <v>8.2249999999999996</v>
      </c>
      <c r="G20" s="4" t="s">
        <v>38</v>
      </c>
      <c r="J20" s="4" t="s">
        <v>39</v>
      </c>
      <c r="L20" s="4">
        <f>M17*10</f>
        <v>220</v>
      </c>
      <c r="M20" s="4" t="s">
        <v>33</v>
      </c>
      <c r="N20" s="4">
        <f>L20/25</f>
        <v>8.8000000000000007</v>
      </c>
      <c r="O20" s="4" t="s">
        <v>34</v>
      </c>
      <c r="T20" s="4">
        <f>U17</f>
        <v>14</v>
      </c>
      <c r="U20" s="4" t="s">
        <v>27</v>
      </c>
    </row>
    <row r="21" spans="1:21" ht="15.75" customHeight="1">
      <c r="A21" s="4" t="s">
        <v>40</v>
      </c>
      <c r="C21" s="15">
        <f>D17*15</f>
        <v>352.5</v>
      </c>
      <c r="D21" s="15">
        <f>(C21*2)/1000</f>
        <v>0.70499999999999996</v>
      </c>
      <c r="G21" s="4" t="s">
        <v>41</v>
      </c>
      <c r="J21" s="4" t="s">
        <v>42</v>
      </c>
      <c r="L21" s="4">
        <f>M17*8</f>
        <v>176</v>
      </c>
      <c r="M21" s="4" t="s">
        <v>33</v>
      </c>
      <c r="N21" s="4">
        <f>M17/2</f>
        <v>11</v>
      </c>
      <c r="O21" s="4" t="s">
        <v>43</v>
      </c>
      <c r="T21" s="4">
        <f>U17*30</f>
        <v>420</v>
      </c>
      <c r="U21" s="4" t="s">
        <v>44</v>
      </c>
    </row>
    <row r="22" spans="1:21" ht="15.75" customHeight="1">
      <c r="A22" s="4" t="s">
        <v>45</v>
      </c>
      <c r="C22" s="15">
        <f>D17*2</f>
        <v>47</v>
      </c>
      <c r="D22" s="15">
        <f>(C22*3)/75</f>
        <v>1.88</v>
      </c>
      <c r="G22" s="4" t="s">
        <v>46</v>
      </c>
      <c r="J22" s="4" t="s">
        <v>47</v>
      </c>
      <c r="L22" s="4">
        <f>M17*10</f>
        <v>220</v>
      </c>
      <c r="M22" s="4" t="s">
        <v>27</v>
      </c>
      <c r="N22" s="4">
        <f>L22/15</f>
        <v>14.666666666666666</v>
      </c>
      <c r="O22" s="4" t="s">
        <v>34</v>
      </c>
      <c r="R22" s="4" t="s">
        <v>48</v>
      </c>
      <c r="T22" s="4">
        <f>U17</f>
        <v>14</v>
      </c>
      <c r="U22" s="4" t="s">
        <v>33</v>
      </c>
    </row>
    <row r="23" spans="1:21" ht="15.75" customHeight="1">
      <c r="A23" s="4" t="s">
        <v>49</v>
      </c>
      <c r="C23" s="15">
        <f>D17*1</f>
        <v>23.5</v>
      </c>
      <c r="D23" s="15">
        <f>C23/30</f>
        <v>0.78333333333333333</v>
      </c>
      <c r="G23" s="4" t="s">
        <v>50</v>
      </c>
      <c r="J23" s="4" t="s">
        <v>51</v>
      </c>
      <c r="L23" s="4">
        <f>M17*75</f>
        <v>1650</v>
      </c>
      <c r="M23" s="4" t="s">
        <v>33</v>
      </c>
      <c r="N23" s="4">
        <f>L23/2</f>
        <v>825</v>
      </c>
      <c r="O23" s="4" t="s">
        <v>43</v>
      </c>
      <c r="R23" s="4" t="s">
        <v>52</v>
      </c>
      <c r="T23" s="4">
        <f>U17*0.3</f>
        <v>4.2</v>
      </c>
      <c r="U23" s="4" t="s">
        <v>27</v>
      </c>
    </row>
    <row r="24" spans="1:21" ht="15.75" customHeight="1">
      <c r="A24" s="4" t="s">
        <v>53</v>
      </c>
      <c r="C24" s="15">
        <f>D17*0.3</f>
        <v>7.05</v>
      </c>
      <c r="D24" s="15">
        <f>C24/20</f>
        <v>0.35249999999999998</v>
      </c>
      <c r="G24" s="4" t="s">
        <v>54</v>
      </c>
      <c r="J24" s="4" t="s">
        <v>55</v>
      </c>
      <c r="L24" s="4">
        <f>M17*100</f>
        <v>2200</v>
      </c>
      <c r="M24" s="4" t="s">
        <v>33</v>
      </c>
      <c r="N24" s="4">
        <f>L24/3</f>
        <v>733.33333333333337</v>
      </c>
      <c r="O24" s="4" t="s">
        <v>34</v>
      </c>
      <c r="S24" s="4" t="s">
        <v>56</v>
      </c>
      <c r="T24" s="4">
        <f>U17*0.6</f>
        <v>8.4</v>
      </c>
      <c r="U24" s="4" t="s">
        <v>27</v>
      </c>
    </row>
    <row r="25" spans="1:21" ht="15.75" customHeight="1">
      <c r="A25" s="4" t="s">
        <v>57</v>
      </c>
      <c r="C25" s="15">
        <f>D17</f>
        <v>23.5</v>
      </c>
      <c r="D25" s="15"/>
      <c r="G25" s="4" t="s">
        <v>58</v>
      </c>
      <c r="J25" s="4" t="s">
        <v>59</v>
      </c>
      <c r="L25" s="4">
        <f>M17*10</f>
        <v>220</v>
      </c>
      <c r="M25" s="4" t="s">
        <v>27</v>
      </c>
      <c r="N25" s="4">
        <f t="shared" ref="N25:N26" si="13">L25/50</f>
        <v>4.4000000000000004</v>
      </c>
      <c r="O25" s="4" t="s">
        <v>34</v>
      </c>
      <c r="R25" s="4" t="s">
        <v>60</v>
      </c>
      <c r="T25" s="4">
        <f>U17*2</f>
        <v>28</v>
      </c>
      <c r="U25" s="4" t="s">
        <v>33</v>
      </c>
    </row>
    <row r="26" spans="1:21" ht="15.75" customHeight="1">
      <c r="A26" s="13" t="s">
        <v>61</v>
      </c>
      <c r="B26" s="13"/>
      <c r="C26" s="14"/>
      <c r="D26" s="14"/>
      <c r="E26" s="14"/>
      <c r="J26" s="4" t="s">
        <v>62</v>
      </c>
      <c r="L26" s="4">
        <f>M17*10</f>
        <v>220</v>
      </c>
      <c r="M26" s="4" t="s">
        <v>27</v>
      </c>
      <c r="N26" s="4">
        <f t="shared" si="13"/>
        <v>4.4000000000000004</v>
      </c>
      <c r="O26" s="4" t="s">
        <v>34</v>
      </c>
    </row>
    <row r="27" spans="1:21" ht="15.75" customHeight="1">
      <c r="A27" s="4" t="s">
        <v>63</v>
      </c>
      <c r="C27" s="4">
        <f>D17*0.15</f>
        <v>3.5249999999999999</v>
      </c>
      <c r="D27" s="4">
        <f>C27/2</f>
        <v>1.7625</v>
      </c>
      <c r="E27" s="4" t="s">
        <v>64</v>
      </c>
      <c r="J27" s="4" t="s">
        <v>65</v>
      </c>
      <c r="L27" s="4">
        <f>M17*15</f>
        <v>330</v>
      </c>
      <c r="M27" s="4" t="s">
        <v>4</v>
      </c>
      <c r="N27" s="4">
        <f>M17*10</f>
        <v>220</v>
      </c>
      <c r="O27" s="4" t="s">
        <v>27</v>
      </c>
      <c r="R27" s="8" t="s">
        <v>21</v>
      </c>
      <c r="S27" s="8"/>
      <c r="T27" s="4" t="s">
        <v>22</v>
      </c>
      <c r="U27" s="12">
        <v>13</v>
      </c>
    </row>
    <row r="28" spans="1:21" ht="15.75" customHeight="1">
      <c r="A28" s="4" t="s">
        <v>66</v>
      </c>
      <c r="C28" s="4">
        <f>D17*0.15</f>
        <v>3.5249999999999999</v>
      </c>
      <c r="D28" s="4">
        <f>C28/5</f>
        <v>0.70499999999999996</v>
      </c>
      <c r="E28" s="4" t="s">
        <v>64</v>
      </c>
      <c r="J28" s="4" t="s">
        <v>67</v>
      </c>
      <c r="L28" s="4">
        <f>M17*60</f>
        <v>1320</v>
      </c>
      <c r="M28" s="4" t="s">
        <v>33</v>
      </c>
      <c r="N28" s="4">
        <f>L28/3</f>
        <v>440</v>
      </c>
      <c r="O28" s="4" t="s">
        <v>34</v>
      </c>
      <c r="R28" s="13" t="s">
        <v>68</v>
      </c>
      <c r="S28" s="13"/>
      <c r="T28" s="4" t="s">
        <v>27</v>
      </c>
    </row>
    <row r="29" spans="1:21" ht="15.75" customHeight="1">
      <c r="A29" s="4" t="s">
        <v>69</v>
      </c>
      <c r="C29" s="4">
        <f>D17*1</f>
        <v>23.5</v>
      </c>
      <c r="D29" s="4">
        <f>C29/20</f>
        <v>1.175</v>
      </c>
      <c r="E29" s="4" t="s">
        <v>64</v>
      </c>
      <c r="J29" s="4" t="s">
        <v>70</v>
      </c>
      <c r="L29" s="4">
        <f>M17*5</f>
        <v>110</v>
      </c>
      <c r="M29" s="4" t="s">
        <v>27</v>
      </c>
      <c r="O29" s="4" t="s">
        <v>71</v>
      </c>
      <c r="R29" s="4" t="s">
        <v>72</v>
      </c>
      <c r="T29" s="4">
        <f>U27</f>
        <v>13</v>
      </c>
      <c r="U29" s="4" t="s">
        <v>73</v>
      </c>
    </row>
    <row r="30" spans="1:21" ht="15.75" customHeight="1">
      <c r="J30" s="4" t="s">
        <v>74</v>
      </c>
      <c r="L30" s="4">
        <f>M17*100</f>
        <v>2200</v>
      </c>
      <c r="M30" s="4" t="s">
        <v>33</v>
      </c>
      <c r="N30" s="4">
        <f>L30/4</f>
        <v>550</v>
      </c>
      <c r="O30" s="4" t="s">
        <v>75</v>
      </c>
      <c r="R30" s="4" t="s">
        <v>76</v>
      </c>
      <c r="T30" s="4">
        <f>U27*0.3</f>
        <v>3.9</v>
      </c>
      <c r="U30" s="4" t="s">
        <v>77</v>
      </c>
    </row>
    <row r="31" spans="1:21" ht="15.75" customHeight="1">
      <c r="A31" s="8" t="s">
        <v>21</v>
      </c>
      <c r="B31" s="8"/>
      <c r="C31" s="4" t="s">
        <v>22</v>
      </c>
      <c r="D31" s="12">
        <v>8.8000000000000007</v>
      </c>
      <c r="J31" s="4" t="s">
        <v>78</v>
      </c>
      <c r="L31" s="4">
        <f>M17*20</f>
        <v>440</v>
      </c>
      <c r="M31" s="4" t="s">
        <v>79</v>
      </c>
      <c r="N31" s="4">
        <f>L31/80</f>
        <v>5.5</v>
      </c>
      <c r="O31" s="4" t="s">
        <v>80</v>
      </c>
      <c r="R31" s="4" t="s">
        <v>81</v>
      </c>
      <c r="T31" s="4" t="s">
        <v>82</v>
      </c>
    </row>
    <row r="32" spans="1:21" ht="15.75" customHeight="1">
      <c r="A32" s="13" t="s">
        <v>83</v>
      </c>
      <c r="B32" s="13"/>
      <c r="C32" s="14" t="s">
        <v>27</v>
      </c>
      <c r="D32" s="14" t="s">
        <v>64</v>
      </c>
      <c r="E32" s="14"/>
      <c r="T32" s="4" t="s">
        <v>84</v>
      </c>
    </row>
    <row r="33" spans="1:22" ht="15.75" customHeight="1">
      <c r="A33" s="4" t="s">
        <v>85</v>
      </c>
      <c r="C33" s="4">
        <f>D31*0.3</f>
        <v>2.64</v>
      </c>
      <c r="D33" s="4" t="s">
        <v>86</v>
      </c>
      <c r="J33" s="8" t="s">
        <v>21</v>
      </c>
      <c r="K33" s="8"/>
      <c r="L33" s="4" t="s">
        <v>22</v>
      </c>
      <c r="M33" s="11">
        <v>22</v>
      </c>
      <c r="R33" s="4" t="s">
        <v>87</v>
      </c>
      <c r="T33" s="4">
        <f>U27/3</f>
        <v>4.333333333333333</v>
      </c>
      <c r="U33" s="4" t="s">
        <v>77</v>
      </c>
      <c r="V33" s="4" t="s">
        <v>88</v>
      </c>
    </row>
    <row r="34" spans="1:22" ht="15.75" customHeight="1">
      <c r="A34" s="4" t="s">
        <v>89</v>
      </c>
      <c r="C34" s="4">
        <f>D31*0.1</f>
        <v>0.88000000000000012</v>
      </c>
      <c r="D34" s="4" t="s">
        <v>86</v>
      </c>
      <c r="J34" s="13" t="s">
        <v>90</v>
      </c>
      <c r="K34" s="13"/>
      <c r="L34" s="14" t="s">
        <v>24</v>
      </c>
      <c r="M34" s="14" t="s">
        <v>25</v>
      </c>
      <c r="N34" s="14"/>
      <c r="O34" s="14"/>
      <c r="R34" s="4" t="s">
        <v>91</v>
      </c>
      <c r="T34" s="4">
        <f>(U27*12/3)/20</f>
        <v>2.6</v>
      </c>
      <c r="U34" s="4" t="s">
        <v>77</v>
      </c>
    </row>
    <row r="35" spans="1:22" ht="15.75" customHeight="1">
      <c r="A35" s="4" t="s">
        <v>92</v>
      </c>
      <c r="C35" s="4">
        <f>D31*1</f>
        <v>8.8000000000000007</v>
      </c>
      <c r="D35" s="4">
        <f>C35/20</f>
        <v>0.44000000000000006</v>
      </c>
      <c r="E35" s="4" t="s">
        <v>64</v>
      </c>
      <c r="J35" s="4" t="s">
        <v>93</v>
      </c>
      <c r="L35" s="4">
        <f>M33*0.2</f>
        <v>4.4000000000000004</v>
      </c>
      <c r="M35" s="4">
        <f>L35</f>
        <v>4.4000000000000004</v>
      </c>
      <c r="N35" s="4" t="s">
        <v>94</v>
      </c>
      <c r="O35" s="4" t="s">
        <v>95</v>
      </c>
    </row>
    <row r="36" spans="1:22" ht="15.75" customHeight="1">
      <c r="A36" s="4" t="s">
        <v>96</v>
      </c>
      <c r="C36" s="4">
        <f>D31*15</f>
        <v>132</v>
      </c>
      <c r="D36" s="4" t="s">
        <v>4</v>
      </c>
      <c r="J36" s="4" t="s">
        <v>97</v>
      </c>
      <c r="L36" s="4">
        <f>M33*0.2</f>
        <v>4.4000000000000004</v>
      </c>
      <c r="M36" s="4">
        <f>(L36/3)*0.5</f>
        <v>0.73333333333333339</v>
      </c>
      <c r="N36" s="4" t="s">
        <v>98</v>
      </c>
      <c r="O36" s="4" t="s">
        <v>99</v>
      </c>
    </row>
    <row r="37" spans="1:22" ht="15.75" customHeight="1">
      <c r="C37" s="4">
        <f>C36/9</f>
        <v>14.666666666666666</v>
      </c>
      <c r="D37" s="4" t="s">
        <v>100</v>
      </c>
      <c r="J37" s="4" t="s">
        <v>101</v>
      </c>
      <c r="L37" s="4">
        <f>M33*1.25</f>
        <v>27.5</v>
      </c>
      <c r="M37" s="4">
        <f>(L37/2.5)/3</f>
        <v>3.6666666666666665</v>
      </c>
      <c r="N37" s="4" t="s">
        <v>98</v>
      </c>
      <c r="O37" s="4" t="s">
        <v>102</v>
      </c>
    </row>
    <row r="38" spans="1:22" ht="15.75" customHeight="1">
      <c r="A38" s="8" t="s">
        <v>21</v>
      </c>
      <c r="B38" s="8"/>
      <c r="C38" s="4" t="s">
        <v>22</v>
      </c>
      <c r="D38" s="12">
        <v>3.2</v>
      </c>
    </row>
    <row r="39" spans="1:22" ht="15.75" customHeight="1">
      <c r="A39" s="13" t="s">
        <v>103</v>
      </c>
      <c r="B39" s="13"/>
      <c r="C39" s="14" t="s">
        <v>24</v>
      </c>
      <c r="D39" s="14" t="s">
        <v>25</v>
      </c>
      <c r="E39" s="14"/>
      <c r="F39" s="14"/>
      <c r="J39" s="16"/>
      <c r="K39" s="16"/>
      <c r="L39" s="16"/>
      <c r="M39" s="16" t="s">
        <v>104</v>
      </c>
      <c r="N39" s="16"/>
      <c r="O39" s="16"/>
    </row>
    <row r="40" spans="1:22" ht="15.75" customHeight="1">
      <c r="A40" s="4" t="s">
        <v>105</v>
      </c>
      <c r="C40" s="4">
        <f>D38*0.15</f>
        <v>0.48</v>
      </c>
      <c r="D40" s="4">
        <f>C40</f>
        <v>0.48</v>
      </c>
      <c r="F40" s="4" t="s">
        <v>106</v>
      </c>
      <c r="J40" s="16" t="s">
        <v>107</v>
      </c>
      <c r="K40" s="16"/>
      <c r="L40" s="16" t="s">
        <v>108</v>
      </c>
      <c r="M40" s="17" t="s">
        <v>109</v>
      </c>
      <c r="N40" s="16" t="s">
        <v>110</v>
      </c>
      <c r="O40" s="16"/>
    </row>
    <row r="41" spans="1:22" ht="15.75" customHeight="1">
      <c r="A41" s="4" t="s">
        <v>111</v>
      </c>
      <c r="C41" s="4">
        <f>C40</f>
        <v>0.48</v>
      </c>
      <c r="D41" s="4">
        <f>C41/5</f>
        <v>9.6000000000000002E-2</v>
      </c>
      <c r="F41" s="4" t="s">
        <v>112</v>
      </c>
      <c r="J41" s="16"/>
      <c r="K41" s="16"/>
      <c r="L41" s="16" t="s">
        <v>113</v>
      </c>
      <c r="M41" s="16" t="s">
        <v>114</v>
      </c>
      <c r="N41" s="16" t="s">
        <v>115</v>
      </c>
      <c r="O41" s="16"/>
    </row>
    <row r="42" spans="1:22" ht="15.75" customHeight="1">
      <c r="A42" s="4" t="s">
        <v>116</v>
      </c>
      <c r="C42" s="4" t="s">
        <v>117</v>
      </c>
      <c r="F42" s="4" t="s">
        <v>118</v>
      </c>
      <c r="J42" s="16"/>
      <c r="K42" s="16"/>
      <c r="L42" s="16" t="s">
        <v>119</v>
      </c>
      <c r="M42" s="16" t="s">
        <v>120</v>
      </c>
      <c r="N42" s="16" t="s">
        <v>121</v>
      </c>
      <c r="O42" s="16"/>
    </row>
    <row r="43" spans="1:22" ht="15.75" customHeight="1">
      <c r="A43" s="4" t="s">
        <v>122</v>
      </c>
      <c r="C43" s="4" t="s">
        <v>123</v>
      </c>
      <c r="J43" s="16"/>
      <c r="K43" s="16"/>
      <c r="L43" s="16" t="s">
        <v>124</v>
      </c>
      <c r="M43" s="16" t="s">
        <v>125</v>
      </c>
      <c r="N43" s="16" t="s">
        <v>126</v>
      </c>
      <c r="O43" s="16"/>
    </row>
    <row r="44" spans="1:22" ht="15.75" customHeight="1">
      <c r="A44" s="4" t="s">
        <v>127</v>
      </c>
      <c r="C44" s="4" t="s">
        <v>128</v>
      </c>
      <c r="J44" s="16"/>
      <c r="K44" s="16"/>
      <c r="L44" s="16"/>
      <c r="M44" s="16"/>
      <c r="N44" s="16"/>
      <c r="O44" s="16"/>
    </row>
    <row r="45" spans="1:22" ht="15.75" customHeight="1">
      <c r="A45" s="4" t="s">
        <v>129</v>
      </c>
      <c r="C45" s="18">
        <f>D38*40</f>
        <v>128</v>
      </c>
      <c r="D45" s="18" t="s">
        <v>130</v>
      </c>
      <c r="E45" s="19">
        <f>D38*15</f>
        <v>48</v>
      </c>
      <c r="F45" s="19" t="s">
        <v>7</v>
      </c>
      <c r="G45" s="19" t="s">
        <v>131</v>
      </c>
    </row>
    <row r="46" spans="1:22" ht="15.75" customHeight="1">
      <c r="D46" s="4" t="s">
        <v>132</v>
      </c>
    </row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2:2" ht="15.75" customHeight="1"/>
    <row r="66" spans="2:2" ht="15.75" customHeight="1"/>
    <row r="67" spans="2:2" ht="15.75" customHeight="1">
      <c r="B67" s="4">
        <f>B10*100</f>
        <v>1300</v>
      </c>
    </row>
    <row r="68" spans="2:2" ht="15.75" customHeight="1">
      <c r="B68" s="4">
        <f>(B10-10)*50+1000</f>
        <v>1150</v>
      </c>
    </row>
    <row r="69" spans="2:2" ht="15.75" customHeight="1">
      <c r="B69" s="4">
        <f>(B10-20)*20+1500</f>
        <v>1360</v>
      </c>
    </row>
    <row r="70" spans="2:2" ht="15.75" customHeight="1"/>
    <row r="71" spans="2:2" ht="15.75" customHeight="1"/>
    <row r="72" spans="2:2" ht="15.75" customHeight="1"/>
    <row r="73" spans="2:2" ht="15.75" customHeight="1"/>
    <row r="74" spans="2:2" ht="15.75" customHeight="1"/>
    <row r="75" spans="2:2" ht="15.75" customHeight="1"/>
    <row r="76" spans="2:2" ht="15.75" customHeight="1"/>
    <row r="77" spans="2:2" ht="15.75" customHeight="1"/>
    <row r="78" spans="2:2" ht="15.75" customHeight="1"/>
    <row r="79" spans="2:2" ht="15.75" customHeight="1"/>
    <row r="80" spans="2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P1"/>
    <mergeCell ref="F9:G9"/>
    <mergeCell ref="J9:K9"/>
    <mergeCell ref="R17:S1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Martinez</dc:creator>
  <cp:lastModifiedBy>simf37.umf71475</cp:lastModifiedBy>
  <dcterms:created xsi:type="dcterms:W3CDTF">2015-06-05T18:19:34Z</dcterms:created>
  <dcterms:modified xsi:type="dcterms:W3CDTF">2025-07-12T03:35:05Z</dcterms:modified>
</cp:coreProperties>
</file>